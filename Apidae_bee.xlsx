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mutnbacth-my.sharepoint.com/personal/s6513031620024_kmutnb_ac_th/Documents/A-ชันโรงแดชบอร์ด/"/>
    </mc:Choice>
  </mc:AlternateContent>
  <xr:revisionPtr revIDLastSave="51" documentId="14_{5466EF3C-9D4C-4C9B-A2CF-418A6E628DBC}" xr6:coauthVersionLast="47" xr6:coauthVersionMax="47" xr10:uidLastSave="{15FA45E1-D267-4E84-8228-85C11454CF89}"/>
  <bookViews>
    <workbookView xWindow="-120" yWindow="-120" windowWidth="24240" windowHeight="13020" tabRatio="819" firstSheet="2" activeTab="2" xr2:uid="{00000000-000D-0000-FFFF-FFFF00000000}"/>
  </bookViews>
  <sheets>
    <sheet name="KeyData" sheetId="11" state="hidden" r:id="rId1"/>
    <sheet name="Tracking" sheetId="10" state="hidden" r:id="rId2"/>
    <sheet name="Hive" sheetId="2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2" l="1"/>
  <c r="H49" i="22"/>
  <c r="D51" i="22"/>
  <c r="D52" i="22"/>
  <c r="D53" i="22"/>
  <c r="D54" i="22"/>
  <c r="C51" i="22"/>
  <c r="C52" i="22"/>
  <c r="C53" i="22"/>
  <c r="C54" i="22"/>
  <c r="B54" i="22"/>
  <c r="B53" i="22"/>
  <c r="B52" i="22"/>
  <c r="B51" i="22"/>
  <c r="J51" i="22"/>
  <c r="J52" i="22"/>
  <c r="J53" i="22"/>
  <c r="J54" i="22"/>
  <c r="H51" i="22"/>
  <c r="I51" i="22"/>
  <c r="H52" i="22"/>
  <c r="I52" i="22"/>
  <c r="H53" i="22"/>
  <c r="I53" i="22"/>
  <c r="H54" i="22"/>
  <c r="I54" i="22"/>
  <c r="A54" i="22"/>
  <c r="A53" i="22"/>
  <c r="A52" i="22"/>
  <c r="A51" i="22"/>
  <c r="J38" i="22"/>
  <c r="J2" i="22"/>
  <c r="J30" i="22"/>
  <c r="J3" i="22"/>
  <c r="J4" i="22"/>
  <c r="J5" i="22"/>
  <c r="J29" i="22"/>
  <c r="I38" i="22"/>
  <c r="H38" i="22"/>
  <c r="H2" i="22"/>
  <c r="I2" i="22"/>
  <c r="I3" i="22"/>
  <c r="I4" i="22"/>
  <c r="I5" i="22"/>
  <c r="H3" i="22"/>
  <c r="H4" i="22"/>
  <c r="H5" i="22"/>
  <c r="H45" i="22"/>
  <c r="J26" i="22"/>
  <c r="J18" i="22"/>
  <c r="J47" i="22"/>
  <c r="J34" i="22"/>
  <c r="I26" i="22"/>
  <c r="J43" i="22"/>
  <c r="J37" i="22"/>
  <c r="J50" i="22"/>
  <c r="J45" i="22"/>
  <c r="J25" i="22"/>
  <c r="J33" i="22"/>
  <c r="J46" i="22"/>
  <c r="I25" i="22"/>
  <c r="I42" i="22"/>
  <c r="I22" i="22"/>
  <c r="I29" i="22"/>
  <c r="I37" i="22"/>
  <c r="I46" i="22"/>
  <c r="I34" i="22"/>
  <c r="J16" i="22"/>
  <c r="I41" i="22"/>
  <c r="I45" i="22"/>
  <c r="J11" i="22"/>
  <c r="J19" i="22"/>
  <c r="J27" i="22"/>
  <c r="J35" i="22"/>
  <c r="J23" i="22"/>
  <c r="J40" i="22"/>
  <c r="J44" i="22"/>
  <c r="J15" i="22"/>
  <c r="J31" i="22"/>
  <c r="J48" i="22"/>
  <c r="I9" i="22"/>
  <c r="J9" i="22"/>
  <c r="J6" i="22"/>
  <c r="J7" i="22"/>
  <c r="I13" i="22"/>
  <c r="I36" i="22"/>
  <c r="I19" i="22"/>
  <c r="I33" i="22"/>
  <c r="I18" i="22"/>
  <c r="I6" i="22"/>
  <c r="I17" i="22"/>
  <c r="H13" i="22"/>
  <c r="H36" i="22"/>
  <c r="I14" i="22"/>
  <c r="H28" i="22"/>
  <c r="H9" i="22"/>
  <c r="I21" i="22"/>
  <c r="H17" i="22"/>
  <c r="I12" i="22"/>
  <c r="H41" i="22"/>
  <c r="I50" i="22"/>
  <c r="I32" i="22"/>
  <c r="I10" i="22"/>
  <c r="H32" i="22"/>
  <c r="I8" i="22"/>
  <c r="H21" i="22"/>
  <c r="I16" i="22"/>
  <c r="I35" i="22"/>
  <c r="I20" i="22"/>
  <c r="I49" i="22"/>
  <c r="C43" i="22"/>
  <c r="D43" i="22"/>
  <c r="C44" i="22"/>
  <c r="D44" i="22"/>
  <c r="C45" i="22"/>
  <c r="D45" i="22"/>
  <c r="C46" i="22"/>
  <c r="D46" i="22"/>
  <c r="C47" i="22"/>
  <c r="D47" i="22"/>
  <c r="C48" i="22"/>
  <c r="D48" i="22"/>
  <c r="C49" i="22"/>
  <c r="D49" i="22"/>
  <c r="C50" i="22"/>
  <c r="D50" i="22"/>
  <c r="B50" i="22"/>
  <c r="B49" i="22"/>
  <c r="B48" i="22"/>
  <c r="B47" i="22"/>
  <c r="B46" i="22"/>
  <c r="B45" i="22"/>
  <c r="B44" i="22"/>
  <c r="B43" i="22"/>
  <c r="B40" i="22"/>
  <c r="B42" i="22"/>
  <c r="D34" i="22"/>
  <c r="D35" i="22"/>
  <c r="D36" i="22"/>
  <c r="D37" i="22"/>
  <c r="D38" i="22"/>
  <c r="D39" i="22"/>
  <c r="D40" i="22"/>
  <c r="D41" i="22"/>
  <c r="D42" i="22"/>
  <c r="B41" i="22"/>
  <c r="B39" i="22"/>
  <c r="B38" i="22"/>
  <c r="B37" i="22"/>
  <c r="B36" i="22"/>
  <c r="B35" i="22"/>
  <c r="B34" i="22"/>
  <c r="B33" i="22"/>
  <c r="A38" i="22"/>
  <c r="A47" i="22"/>
  <c r="C42" i="22"/>
  <c r="C41" i="22"/>
  <c r="C40" i="22"/>
  <c r="C39" i="22"/>
  <c r="J36" i="22"/>
  <c r="J41" i="22"/>
  <c r="I28" i="22"/>
  <c r="J28" i="22"/>
  <c r="J39" i="22"/>
  <c r="I23" i="22"/>
  <c r="J20" i="22"/>
  <c r="I27" i="22"/>
  <c r="I11" i="22"/>
  <c r="J8" i="22"/>
  <c r="I7" i="22"/>
  <c r="I24" i="22"/>
  <c r="J12" i="22"/>
  <c r="J22" i="22"/>
  <c r="I31" i="22"/>
  <c r="I30" i="22"/>
  <c r="I15" i="22"/>
  <c r="J24" i="22"/>
  <c r="J49" i="22"/>
  <c r="J14" i="22"/>
  <c r="J32" i="22"/>
  <c r="A2" i="22"/>
  <c r="A6" i="22"/>
  <c r="A10" i="22"/>
  <c r="A14" i="22"/>
  <c r="A18" i="22"/>
  <c r="A22" i="22"/>
  <c r="A26" i="22"/>
  <c r="A30" i="22"/>
  <c r="A34" i="22"/>
  <c r="C37" i="22"/>
  <c r="C36" i="22"/>
  <c r="C35" i="22"/>
  <c r="C34" i="22"/>
  <c r="C33" i="22"/>
  <c r="I44" i="22"/>
  <c r="I39" i="22"/>
  <c r="I47" i="22"/>
  <c r="I48" i="22"/>
  <c r="I43" i="22"/>
  <c r="I40" i="22"/>
  <c r="E6" i="11"/>
  <c r="D30" i="22"/>
  <c r="D31" i="22"/>
  <c r="D32" i="22"/>
  <c r="D33" i="22"/>
  <c r="C32" i="22"/>
  <c r="C31" i="22"/>
  <c r="C30" i="22"/>
  <c r="B30" i="22"/>
  <c r="B31" i="22"/>
  <c r="B32" i="22"/>
  <c r="D29" i="22"/>
  <c r="D28" i="22"/>
  <c r="D27" i="22"/>
  <c r="D26" i="22"/>
  <c r="D25" i="22"/>
  <c r="C29" i="22"/>
  <c r="C28" i="22"/>
  <c r="C27" i="22"/>
  <c r="C26" i="22"/>
  <c r="C25" i="22"/>
  <c r="B29" i="22"/>
  <c r="B28" i="22"/>
  <c r="B27" i="22"/>
  <c r="B26" i="22"/>
  <c r="C18" i="22"/>
  <c r="D24" i="22"/>
  <c r="D23" i="22"/>
  <c r="D22" i="22"/>
  <c r="C24" i="22"/>
  <c r="C23" i="22"/>
  <c r="C22" i="22"/>
  <c r="B25" i="22"/>
  <c r="B24" i="22"/>
  <c r="B23" i="22"/>
  <c r="B22" i="22"/>
  <c r="D14" i="22"/>
  <c r="D15" i="22"/>
  <c r="D16" i="22"/>
  <c r="D17" i="22"/>
  <c r="D18" i="22"/>
  <c r="D19" i="22"/>
  <c r="D20" i="22"/>
  <c r="D21" i="22"/>
  <c r="B21" i="22"/>
  <c r="B20" i="22"/>
  <c r="B19" i="22"/>
  <c r="B18" i="22"/>
  <c r="C21" i="22"/>
  <c r="C20" i="22"/>
  <c r="C19" i="22"/>
  <c r="C14" i="22"/>
  <c r="C17" i="22"/>
  <c r="C16" i="22"/>
  <c r="C15" i="22"/>
  <c r="B17" i="22"/>
  <c r="B16" i="22"/>
  <c r="B15" i="22"/>
  <c r="B14" i="22"/>
  <c r="C13" i="22"/>
  <c r="D13" i="22"/>
  <c r="B13" i="22"/>
  <c r="D12" i="22"/>
  <c r="C12" i="22"/>
  <c r="B12" i="22"/>
  <c r="D11" i="22"/>
  <c r="C11" i="22"/>
  <c r="B11" i="22"/>
  <c r="D10" i="22"/>
  <c r="C10" i="22"/>
  <c r="B10" i="22"/>
  <c r="D9" i="22"/>
  <c r="C9" i="22"/>
  <c r="B9" i="22"/>
  <c r="D8" i="22"/>
  <c r="C8" i="22"/>
  <c r="B8" i="22"/>
  <c r="D7" i="22"/>
  <c r="C7" i="22"/>
  <c r="B7" i="22"/>
  <c r="D6" i="22"/>
  <c r="C6" i="22"/>
  <c r="B6" i="22"/>
  <c r="D5" i="22"/>
  <c r="C5" i="22"/>
  <c r="B5" i="22"/>
  <c r="A5" i="22"/>
  <c r="A9" i="22"/>
  <c r="A13" i="22"/>
  <c r="A17" i="22"/>
  <c r="A21" i="22"/>
  <c r="A25" i="22"/>
  <c r="A29" i="22"/>
  <c r="A33" i="22"/>
  <c r="A37" i="22"/>
  <c r="A42" i="22"/>
  <c r="A46" i="22"/>
  <c r="A50" i="22"/>
  <c r="D4" i="22"/>
  <c r="C4" i="22"/>
  <c r="B4" i="22"/>
  <c r="A4" i="22"/>
  <c r="A8" i="22"/>
  <c r="A12" i="22"/>
  <c r="A16" i="22"/>
  <c r="A20" i="22"/>
  <c r="A24" i="22"/>
  <c r="A28" i="22"/>
  <c r="A32" i="22"/>
  <c r="A36" i="22"/>
  <c r="A41" i="22"/>
  <c r="A45" i="22"/>
  <c r="A49" i="22"/>
  <c r="D3" i="22"/>
  <c r="C3" i="22"/>
  <c r="B3" i="22"/>
  <c r="A3" i="22"/>
  <c r="D2" i="22"/>
  <c r="C2" i="22"/>
  <c r="B2" i="22"/>
  <c r="E2" i="11"/>
  <c r="E3" i="11"/>
  <c r="E5" i="11"/>
  <c r="E4" i="11"/>
  <c r="A7" i="22"/>
  <c r="A11" i="22"/>
  <c r="A15" i="22"/>
  <c r="A19" i="22"/>
  <c r="A23" i="22"/>
  <c r="A27" i="22"/>
  <c r="A31" i="22"/>
  <c r="A35" i="22"/>
  <c r="A40" i="22"/>
  <c r="A44" i="22"/>
  <c r="A48" i="22"/>
  <c r="A43" i="22"/>
  <c r="A39" i="22"/>
  <c r="H37" i="22"/>
  <c r="H10" i="22"/>
  <c r="H29" i="22"/>
  <c r="H14" i="22"/>
  <c r="H25" i="22"/>
  <c r="H22" i="22"/>
  <c r="H18" i="22"/>
  <c r="H6" i="22"/>
  <c r="H33" i="22"/>
  <c r="H8" i="22"/>
  <c r="H35" i="22"/>
  <c r="H27" i="22"/>
  <c r="H24" i="22"/>
  <c r="H48" i="22"/>
  <c r="H44" i="22"/>
  <c r="H12" i="22"/>
  <c r="H16" i="22"/>
  <c r="H20" i="22"/>
  <c r="H40" i="22"/>
  <c r="H11" i="22"/>
  <c r="H15" i="22"/>
  <c r="H26" i="22"/>
  <c r="H30" i="22"/>
  <c r="H34" i="22"/>
  <c r="H23" i="22"/>
  <c r="H19" i="22"/>
  <c r="H46" i="22"/>
  <c r="H7" i="22"/>
  <c r="H47" i="22"/>
  <c r="H39" i="22"/>
  <c r="H42" i="22"/>
  <c r="H50" i="22"/>
  <c r="H31" i="22"/>
  <c r="H43" i="22"/>
  <c r="J21" i="22"/>
  <c r="J17" i="22"/>
  <c r="J42" i="22"/>
  <c r="J13" i="22"/>
  <c r="J10" i="22"/>
</calcChain>
</file>

<file path=xl/sharedStrings.xml><?xml version="1.0" encoding="utf-8"?>
<sst xmlns="http://schemas.openxmlformats.org/spreadsheetml/2006/main" count="70" uniqueCount="29">
  <si>
    <t>Date</t>
  </si>
  <si>
    <t>Weight</t>
  </si>
  <si>
    <t>ID</t>
  </si>
  <si>
    <t>Enter</t>
  </si>
  <si>
    <t>Exit</t>
  </si>
  <si>
    <t>weather</t>
  </si>
  <si>
    <t>shape</t>
  </si>
  <si>
    <t>cm^3</t>
  </si>
  <si>
    <t>16*27*11</t>
  </si>
  <si>
    <t>17*27.5*11.5</t>
  </si>
  <si>
    <t>Supplement</t>
  </si>
  <si>
    <t>size(W*D*H)</t>
  </si>
  <si>
    <t>Area</t>
  </si>
  <si>
    <t>Timeframe</t>
  </si>
  <si>
    <t>late morning</t>
  </si>
  <si>
    <t>21.5*40*7</t>
  </si>
  <si>
    <t>24.5*38.5*7</t>
  </si>
  <si>
    <t>45</t>
  </si>
  <si>
    <t>21.5*40.5*7</t>
  </si>
  <si>
    <t>16</t>
  </si>
  <si>
    <t>อาหารเสริม</t>
  </si>
  <si>
    <t>ไม่ใช้อาหารเสริม</t>
  </si>
  <si>
    <t>พื้นที่ศาลา</t>
  </si>
  <si>
    <t>รังขนาดA4</t>
  </si>
  <si>
    <t>รังทรงสูง</t>
  </si>
  <si>
    <t>week</t>
  </si>
  <si>
    <t>ลมแรงเมฆมาก</t>
  </si>
  <si>
    <t>Week</t>
  </si>
  <si>
    <t>แจ่มใส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</si>
</sst>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/>
      <right style="thin">
        <color theme="2" tint="-0.249977111117893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14" fontId="1" fillId="2" borderId="0" xfId="0" applyNumberFormat="1" applyFont="1" applyFill="1" applyAlignment="1">
      <alignment horizontal="center" wrapText="1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3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2" fontId="0" fillId="0" borderId="2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49" fontId="3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/>
    </xf>
    <xf numFmtId="49" fontId="0" fillId="2" borderId="6" xfId="0" applyNumberFormat="1" applyFill="1" applyBorder="1" applyAlignment="1">
      <alignment vertical="center"/>
    </xf>
    <xf numFmtId="49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Medium9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9D38-A53D-4CA0-830D-8E585BC781A8}">
  <dimension ref="A1:F6"/>
  <sheetViews>
    <sheetView workbookViewId="0">
      <selection activeCell="B2" sqref="B2"/>
    </sheetView>
  </sheetViews>
  <sheetFormatPr defaultColWidth="8.5703125" defaultRowHeight="15" x14ac:dyDescent="0.25"/>
  <cols>
    <col min="1" max="1" width="5.140625" style="2" customWidth="1"/>
    <col min="2" max="2" width="13.28515625" style="2" customWidth="1"/>
    <col min="3" max="3" width="12.140625" style="2" customWidth="1"/>
    <col min="4" max="4" width="11.85546875" style="10" bestFit="1" customWidth="1"/>
    <col min="5" max="5" width="7.28515625" style="2" bestFit="1" customWidth="1"/>
    <col min="6" max="6" width="18.28515625" style="1" customWidth="1"/>
    <col min="7" max="16384" width="8.5703125" style="5"/>
  </cols>
  <sheetData>
    <row r="1" spans="1:6" x14ac:dyDescent="0.25">
      <c r="A1" s="12" t="s">
        <v>2</v>
      </c>
      <c r="B1" s="11" t="s">
        <v>12</v>
      </c>
      <c r="C1" s="12" t="s">
        <v>6</v>
      </c>
      <c r="D1" s="12" t="s">
        <v>11</v>
      </c>
      <c r="E1" s="13" t="s">
        <v>7</v>
      </c>
      <c r="F1" s="12" t="s">
        <v>10</v>
      </c>
    </row>
    <row r="2" spans="1:6" x14ac:dyDescent="0.25">
      <c r="A2" s="30">
        <v>17</v>
      </c>
      <c r="B2" s="1" t="s">
        <v>22</v>
      </c>
      <c r="C2" s="2" t="s">
        <v>23</v>
      </c>
      <c r="D2" s="10" t="s">
        <v>15</v>
      </c>
      <c r="E2" s="10">
        <f>21.5*40*7</f>
        <v>6020</v>
      </c>
      <c r="F2" t="s">
        <v>20</v>
      </c>
    </row>
    <row r="3" spans="1:6" x14ac:dyDescent="0.25">
      <c r="A3" s="2">
        <v>18</v>
      </c>
      <c r="B3" s="1" t="s">
        <v>22</v>
      </c>
      <c r="C3" s="2" t="s">
        <v>23</v>
      </c>
      <c r="D3" s="10" t="s">
        <v>16</v>
      </c>
      <c r="E3" s="10">
        <f>24.5*38.5*7</f>
        <v>6602.75</v>
      </c>
      <c r="F3" t="s">
        <v>21</v>
      </c>
    </row>
    <row r="4" spans="1:6" x14ac:dyDescent="0.25">
      <c r="A4" s="2">
        <v>44</v>
      </c>
      <c r="B4" s="1" t="s">
        <v>22</v>
      </c>
      <c r="C4" s="2" t="s">
        <v>24</v>
      </c>
      <c r="D4" s="2" t="s">
        <v>9</v>
      </c>
      <c r="E4" s="10">
        <f>17*27.5*11.5</f>
        <v>5376.25</v>
      </c>
      <c r="F4" t="s">
        <v>21</v>
      </c>
    </row>
    <row r="5" spans="1:6" x14ac:dyDescent="0.25">
      <c r="A5" s="2" t="s">
        <v>17</v>
      </c>
      <c r="B5" s="1" t="s">
        <v>22</v>
      </c>
      <c r="C5" s="2" t="s">
        <v>24</v>
      </c>
      <c r="D5" s="2" t="s">
        <v>8</v>
      </c>
      <c r="E5" s="10">
        <f>16*27*11</f>
        <v>4752</v>
      </c>
      <c r="F5" t="s">
        <v>20</v>
      </c>
    </row>
    <row r="6" spans="1:6" x14ac:dyDescent="0.25">
      <c r="A6" s="31" t="s">
        <v>19</v>
      </c>
      <c r="B6" s="1" t="s">
        <v>22</v>
      </c>
      <c r="C6" s="2" t="s">
        <v>23</v>
      </c>
      <c r="D6" s="29" t="s">
        <v>18</v>
      </c>
      <c r="E6" s="32">
        <f>21.5*40.5*7</f>
        <v>6095.25</v>
      </c>
      <c r="F6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0E86-2958-4137-A144-17BB12CEB0FD}">
  <dimension ref="A1:G21"/>
  <sheetViews>
    <sheetView zoomScale="130" zoomScaleNormal="130" workbookViewId="0">
      <selection activeCell="E15" sqref="E15"/>
    </sheetView>
  </sheetViews>
  <sheetFormatPr defaultColWidth="8.5703125" defaultRowHeight="15" x14ac:dyDescent="0.25"/>
  <cols>
    <col min="1" max="1" width="8.5703125" style="5"/>
    <col min="2" max="2" width="16.140625" style="7" customWidth="1"/>
    <col min="3" max="3" width="22" style="5" customWidth="1"/>
    <col min="4" max="4" width="16" style="6" customWidth="1"/>
    <col min="5" max="5" width="34" style="5" customWidth="1"/>
    <col min="6" max="16384" width="8.5703125" style="5"/>
  </cols>
  <sheetData>
    <row r="1" spans="1:7" x14ac:dyDescent="0.25">
      <c r="A1" s="14" t="s">
        <v>25</v>
      </c>
      <c r="B1" s="15" t="s">
        <v>0</v>
      </c>
      <c r="C1" s="16" t="s">
        <v>5</v>
      </c>
      <c r="D1" s="17" t="s">
        <v>13</v>
      </c>
      <c r="E1" s="4"/>
      <c r="F1" s="3"/>
      <c r="G1" s="3"/>
    </row>
    <row r="2" spans="1:7" x14ac:dyDescent="0.25">
      <c r="A2" s="44">
        <v>1</v>
      </c>
      <c r="B2" s="45">
        <v>45826</v>
      </c>
      <c r="C2" s="8" t="s">
        <v>28</v>
      </c>
      <c r="D2" s="1" t="s">
        <v>14</v>
      </c>
    </row>
    <row r="3" spans="1:7" x14ac:dyDescent="0.25">
      <c r="A3" s="5">
        <v>2</v>
      </c>
      <c r="B3" s="7">
        <v>45833</v>
      </c>
      <c r="C3" s="8" t="s">
        <v>28</v>
      </c>
      <c r="D3" s="1" t="s">
        <v>14</v>
      </c>
    </row>
    <row r="4" spans="1:7" x14ac:dyDescent="0.25">
      <c r="A4" s="5">
        <v>3</v>
      </c>
      <c r="B4" s="7">
        <v>45840</v>
      </c>
      <c r="C4" s="5" t="s">
        <v>26</v>
      </c>
      <c r="D4" s="1" t="s">
        <v>14</v>
      </c>
    </row>
    <row r="5" spans="1:7" x14ac:dyDescent="0.25">
      <c r="A5" s="5">
        <v>4</v>
      </c>
      <c r="B5" s="7">
        <v>45847</v>
      </c>
      <c r="C5" s="5" t="s">
        <v>26</v>
      </c>
      <c r="D5" s="1" t="s">
        <v>14</v>
      </c>
    </row>
    <row r="6" spans="1:7" x14ac:dyDescent="0.25">
      <c r="A6" s="44">
        <v>5</v>
      </c>
      <c r="B6" s="45">
        <v>45854</v>
      </c>
      <c r="C6" s="5" t="s">
        <v>26</v>
      </c>
      <c r="D6" s="1" t="s">
        <v>14</v>
      </c>
    </row>
    <row r="7" spans="1:7" x14ac:dyDescent="0.25">
      <c r="A7" s="5">
        <v>6</v>
      </c>
      <c r="B7" s="7">
        <v>45861</v>
      </c>
      <c r="C7" s="8" t="s">
        <v>28</v>
      </c>
      <c r="D7" s="1" t="s">
        <v>14</v>
      </c>
    </row>
    <row r="8" spans="1:7" x14ac:dyDescent="0.25">
      <c r="A8" s="5">
        <v>7</v>
      </c>
      <c r="B8" s="7">
        <v>45868</v>
      </c>
      <c r="C8" s="8" t="s">
        <v>28</v>
      </c>
      <c r="D8" s="1" t="s">
        <v>14</v>
      </c>
    </row>
    <row r="9" spans="1:7" x14ac:dyDescent="0.25">
      <c r="A9" s="5">
        <v>8</v>
      </c>
      <c r="B9" s="7">
        <v>45875</v>
      </c>
      <c r="C9" s="8" t="s">
        <v>28</v>
      </c>
      <c r="D9" s="1" t="s">
        <v>14</v>
      </c>
    </row>
    <row r="10" spans="1:7" x14ac:dyDescent="0.25">
      <c r="A10" s="44">
        <v>9</v>
      </c>
      <c r="B10" s="45">
        <v>45882</v>
      </c>
      <c r="C10" s="5" t="s">
        <v>26</v>
      </c>
      <c r="D10" s="1" t="s">
        <v>14</v>
      </c>
    </row>
    <row r="11" spans="1:7" x14ac:dyDescent="0.25">
      <c r="A11" s="44">
        <v>9</v>
      </c>
      <c r="B11" s="45">
        <v>45882</v>
      </c>
      <c r="C11" s="8" t="s">
        <v>28</v>
      </c>
      <c r="D11" s="1" t="s">
        <v>14</v>
      </c>
      <c r="E11" s="7">
        <v>45883</v>
      </c>
    </row>
    <row r="12" spans="1:7" x14ac:dyDescent="0.25">
      <c r="A12" s="5">
        <v>10</v>
      </c>
      <c r="B12" s="7">
        <v>45889</v>
      </c>
      <c r="C12" s="8" t="s">
        <v>28</v>
      </c>
      <c r="D12" s="1" t="s">
        <v>14</v>
      </c>
    </row>
    <row r="13" spans="1:7" x14ac:dyDescent="0.25">
      <c r="A13" s="5">
        <v>11</v>
      </c>
      <c r="B13" s="7">
        <v>45896</v>
      </c>
      <c r="C13" s="5" t="s">
        <v>26</v>
      </c>
      <c r="D13" s="1" t="s">
        <v>14</v>
      </c>
    </row>
    <row r="14" spans="1:7" x14ac:dyDescent="0.25">
      <c r="A14" s="44">
        <v>12</v>
      </c>
      <c r="B14" s="45">
        <v>45903</v>
      </c>
      <c r="C14" s="8" t="s">
        <v>28</v>
      </c>
      <c r="D14" s="1" t="s">
        <v>14</v>
      </c>
    </row>
    <row r="15" spans="1:7" x14ac:dyDescent="0.25">
      <c r="A15" s="5">
        <v>13</v>
      </c>
      <c r="B15" s="7">
        <v>45910</v>
      </c>
      <c r="C15" s="8" t="s">
        <v>28</v>
      </c>
      <c r="D15" s="1" t="s">
        <v>14</v>
      </c>
    </row>
    <row r="16" spans="1:7" x14ac:dyDescent="0.25">
      <c r="B16" s="5"/>
      <c r="D16" s="5"/>
    </row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66B4-A751-4D69-9CF1-06FC5CF52AD2}">
  <dimension ref="A1:L55"/>
  <sheetViews>
    <sheetView tabSelected="1" zoomScale="85" zoomScaleNormal="85" workbookViewId="0">
      <selection activeCell="J1" sqref="J1"/>
    </sheetView>
  </sheetViews>
  <sheetFormatPr defaultColWidth="8.5703125" defaultRowHeight="15" x14ac:dyDescent="0.25"/>
  <cols>
    <col min="1" max="1" width="8.5703125" style="29"/>
    <col min="2" max="2" width="7" style="5" customWidth="1"/>
    <col min="3" max="3" width="12.28515625" style="5" customWidth="1"/>
    <col min="4" max="4" width="13.28515625" style="5" customWidth="1"/>
    <col min="5" max="5" width="8.5703125" style="32"/>
    <col min="6" max="7" width="8.5703125" style="5"/>
    <col min="8" max="9" width="10.5703125" customWidth="1"/>
    <col min="10" max="10" width="17.28515625" customWidth="1"/>
    <col min="11" max="11" width="9" customWidth="1"/>
  </cols>
  <sheetData>
    <row r="1" spans="1:12" x14ac:dyDescent="0.25">
      <c r="A1" s="51" t="s">
        <v>2</v>
      </c>
      <c r="B1" s="52" t="s">
        <v>27</v>
      </c>
      <c r="C1" s="53" t="s">
        <v>0</v>
      </c>
      <c r="D1" s="54" t="s">
        <v>5</v>
      </c>
      <c r="E1" s="55" t="s">
        <v>1</v>
      </c>
      <c r="F1" s="56" t="s">
        <v>3</v>
      </c>
      <c r="G1" s="56" t="s">
        <v>4</v>
      </c>
      <c r="H1" s="57" t="s">
        <v>12</v>
      </c>
      <c r="I1" s="58" t="s">
        <v>6</v>
      </c>
      <c r="J1" s="59" t="s">
        <v>10</v>
      </c>
    </row>
    <row r="2" spans="1:12" x14ac:dyDescent="0.25">
      <c r="A2" s="2">
        <f>KeyData!A2</f>
        <v>17</v>
      </c>
      <c r="B2" s="1">
        <f>Tracking!A2</f>
        <v>1</v>
      </c>
      <c r="C2" s="9">
        <f>Tracking!B2</f>
        <v>45826</v>
      </c>
      <c r="D2" s="9" t="str">
        <f>Tracking!C2</f>
        <v>แจ่มใส</v>
      </c>
      <c r="E2" s="10">
        <v>3.71</v>
      </c>
      <c r="F2" s="1">
        <v>36</v>
      </c>
      <c r="G2" s="1">
        <v>27</v>
      </c>
      <c r="H2" s="36" t="str">
        <f>KeyData!B2</f>
        <v>พื้นที่ศาลา</v>
      </c>
      <c r="I2" s="36" t="str">
        <f>KeyData!C2</f>
        <v>รังขนาดA4</v>
      </c>
      <c r="J2" s="36" t="str">
        <f>KeyData!F2</f>
        <v>อาหารเสริม</v>
      </c>
      <c r="L2" s="36"/>
    </row>
    <row r="3" spans="1:12" x14ac:dyDescent="0.25">
      <c r="A3" s="2">
        <f>KeyData!A3</f>
        <v>18</v>
      </c>
      <c r="B3" s="1">
        <f>Tracking!A2</f>
        <v>1</v>
      </c>
      <c r="C3" s="9">
        <f>Tracking!B2</f>
        <v>45826</v>
      </c>
      <c r="D3" s="9" t="str">
        <f>Tracking!C2</f>
        <v>แจ่มใส</v>
      </c>
      <c r="E3" s="10">
        <v>4.12</v>
      </c>
      <c r="F3" s="1">
        <v>30</v>
      </c>
      <c r="G3" s="1">
        <v>31</v>
      </c>
      <c r="H3" s="36" t="str">
        <f>KeyData!B3</f>
        <v>พื้นที่ศาลา</v>
      </c>
      <c r="I3" s="36" t="str">
        <f>KeyData!C3</f>
        <v>รังขนาดA4</v>
      </c>
      <c r="J3" s="36" t="str">
        <f>KeyData!F3</f>
        <v>ไม่ใช้อาหารเสริม</v>
      </c>
      <c r="L3" s="36"/>
    </row>
    <row r="4" spans="1:12" x14ac:dyDescent="0.25">
      <c r="A4" s="2">
        <f>KeyData!A4</f>
        <v>44</v>
      </c>
      <c r="B4" s="1">
        <f>Tracking!A2</f>
        <v>1</v>
      </c>
      <c r="C4" s="9">
        <f>Tracking!B2</f>
        <v>45826</v>
      </c>
      <c r="D4" s="9" t="str">
        <f>Tracking!C2</f>
        <v>แจ่มใส</v>
      </c>
      <c r="E4" s="10">
        <v>3.27</v>
      </c>
      <c r="F4" s="1">
        <v>42</v>
      </c>
      <c r="G4" s="1">
        <v>51</v>
      </c>
      <c r="H4" s="36" t="str">
        <f>KeyData!B4</f>
        <v>พื้นที่ศาลา</v>
      </c>
      <c r="I4" s="36" t="str">
        <f>KeyData!C4</f>
        <v>รังทรงสูง</v>
      </c>
      <c r="J4" s="36" t="str">
        <f>KeyData!F4</f>
        <v>ไม่ใช้อาหารเสริม</v>
      </c>
      <c r="L4" s="36"/>
    </row>
    <row r="5" spans="1:12" x14ac:dyDescent="0.25">
      <c r="A5" s="18" t="str">
        <f>KeyData!A5</f>
        <v>45</v>
      </c>
      <c r="B5" s="19">
        <f>Tracking!A2</f>
        <v>1</v>
      </c>
      <c r="C5" s="20">
        <f>Tracking!B2</f>
        <v>45826</v>
      </c>
      <c r="D5" s="20" t="str">
        <f>Tracking!C2</f>
        <v>แจ่มใส</v>
      </c>
      <c r="E5" s="39">
        <v>2.62</v>
      </c>
      <c r="F5" s="38">
        <v>109</v>
      </c>
      <c r="G5" s="38">
        <v>62</v>
      </c>
      <c r="H5" s="40" t="str">
        <f>KeyData!B5</f>
        <v>พื้นที่ศาลา</v>
      </c>
      <c r="I5" s="40" t="str">
        <f>KeyData!C5</f>
        <v>รังทรงสูง</v>
      </c>
      <c r="J5" s="40" t="str">
        <f>KeyData!F5</f>
        <v>อาหารเสริม</v>
      </c>
      <c r="L5" s="36"/>
    </row>
    <row r="6" spans="1:12" x14ac:dyDescent="0.25">
      <c r="A6" s="2">
        <f t="shared" ref="A6:A37" si="0">A2</f>
        <v>17</v>
      </c>
      <c r="B6" s="1">
        <f>Tracking!A3</f>
        <v>2</v>
      </c>
      <c r="C6" s="9">
        <f>Tracking!B3</f>
        <v>45833</v>
      </c>
      <c r="D6" s="9" t="str">
        <f>Tracking!C3</f>
        <v>แจ่มใส</v>
      </c>
      <c r="E6" s="32">
        <v>3.71</v>
      </c>
      <c r="F6" s="1">
        <v>31</v>
      </c>
      <c r="G6" s="1">
        <v>24</v>
      </c>
      <c r="H6" s="41" t="str">
        <f>$H$2</f>
        <v>พื้นที่ศาลา</v>
      </c>
      <c r="I6" s="41" t="str">
        <f>$I$2</f>
        <v>รังขนาดA4</v>
      </c>
      <c r="J6" s="41" t="str">
        <f>$J$2</f>
        <v>อาหารเสริม</v>
      </c>
    </row>
    <row r="7" spans="1:12" x14ac:dyDescent="0.25">
      <c r="A7" s="2">
        <f t="shared" si="0"/>
        <v>18</v>
      </c>
      <c r="B7" s="1">
        <f>Tracking!A3</f>
        <v>2</v>
      </c>
      <c r="C7" s="9">
        <f>Tracking!B3</f>
        <v>45833</v>
      </c>
      <c r="D7" s="9" t="str">
        <f>Tracking!C3</f>
        <v>แจ่มใส</v>
      </c>
      <c r="E7" s="32">
        <v>4.1100000000000003</v>
      </c>
      <c r="F7" s="1">
        <v>60</v>
      </c>
      <c r="G7" s="1">
        <v>75</v>
      </c>
      <c r="H7" t="str">
        <f>$H$3</f>
        <v>พื้นที่ศาลา</v>
      </c>
      <c r="I7" t="str">
        <f>$I$3</f>
        <v>รังขนาดA4</v>
      </c>
      <c r="J7" s="36" t="str">
        <f>$J$3</f>
        <v>ไม่ใช้อาหารเสริม</v>
      </c>
    </row>
    <row r="8" spans="1:12" x14ac:dyDescent="0.25">
      <c r="A8" s="2">
        <f t="shared" si="0"/>
        <v>44</v>
      </c>
      <c r="B8" s="1">
        <f>Tracking!A3</f>
        <v>2</v>
      </c>
      <c r="C8" s="9">
        <f>Tracking!B3</f>
        <v>45833</v>
      </c>
      <c r="D8" s="9" t="str">
        <f>Tracking!C3</f>
        <v>แจ่มใส</v>
      </c>
      <c r="E8" s="32">
        <v>3.28</v>
      </c>
      <c r="F8" s="1">
        <v>29</v>
      </c>
      <c r="G8" s="1">
        <v>41</v>
      </c>
      <c r="H8" t="str">
        <f>$H$4</f>
        <v>พื้นที่ศาลา</v>
      </c>
      <c r="I8" t="str">
        <f>$I$4</f>
        <v>รังทรงสูง</v>
      </c>
      <c r="J8" s="36" t="str">
        <f>$J$4</f>
        <v>ไม่ใช้อาหารเสริม</v>
      </c>
    </row>
    <row r="9" spans="1:12" x14ac:dyDescent="0.25">
      <c r="A9" s="21" t="str">
        <f t="shared" si="0"/>
        <v>45</v>
      </c>
      <c r="B9" s="19">
        <f>Tracking!A3</f>
        <v>2</v>
      </c>
      <c r="C9" s="20">
        <f>Tracking!B3</f>
        <v>45833</v>
      </c>
      <c r="D9" s="20" t="str">
        <f>Tracking!C3</f>
        <v>แจ่มใส</v>
      </c>
      <c r="E9" s="34">
        <v>2.63</v>
      </c>
      <c r="F9" s="19">
        <v>36</v>
      </c>
      <c r="G9" s="19">
        <v>33</v>
      </c>
      <c r="H9" s="37" t="str">
        <f>$H$5</f>
        <v>พื้นที่ศาลา</v>
      </c>
      <c r="I9" s="37" t="str">
        <f>$I$5</f>
        <v>รังทรงสูง</v>
      </c>
      <c r="J9" s="40" t="str">
        <f>$J$5</f>
        <v>อาหารเสริม</v>
      </c>
    </row>
    <row r="10" spans="1:12" x14ac:dyDescent="0.25">
      <c r="A10" s="22">
        <f t="shared" si="0"/>
        <v>17</v>
      </c>
      <c r="B10" s="23">
        <f>Tracking!A4</f>
        <v>3</v>
      </c>
      <c r="C10" s="24">
        <f>Tracking!B4</f>
        <v>45840</v>
      </c>
      <c r="D10" s="24" t="str">
        <f>Tracking!C4</f>
        <v>ลมแรงเมฆมาก</v>
      </c>
      <c r="E10" s="42">
        <v>3.7</v>
      </c>
      <c r="F10" s="23">
        <v>7</v>
      </c>
      <c r="G10" s="23">
        <v>4</v>
      </c>
      <c r="H10" s="36" t="str">
        <f>$H$2</f>
        <v>พื้นที่ศาลา</v>
      </c>
      <c r="I10" s="36" t="str">
        <f>$I$2</f>
        <v>รังขนาดA4</v>
      </c>
      <c r="J10" s="41" t="str">
        <f>$J$2</f>
        <v>อาหารเสริม</v>
      </c>
    </row>
    <row r="11" spans="1:12" x14ac:dyDescent="0.25">
      <c r="A11" s="2">
        <f t="shared" si="0"/>
        <v>18</v>
      </c>
      <c r="B11" s="1">
        <f>Tracking!A4</f>
        <v>3</v>
      </c>
      <c r="C11" s="9">
        <f>Tracking!B4</f>
        <v>45840</v>
      </c>
      <c r="D11" s="9" t="str">
        <f>Tracking!C4</f>
        <v>ลมแรงเมฆมาก</v>
      </c>
      <c r="E11" s="10">
        <v>4.08</v>
      </c>
      <c r="F11" s="1">
        <v>43</v>
      </c>
      <c r="G11" s="1">
        <v>16</v>
      </c>
      <c r="H11" t="str">
        <f>$H$3</f>
        <v>พื้นที่ศาลา</v>
      </c>
      <c r="I11" t="str">
        <f>$I$3</f>
        <v>รังขนาดA4</v>
      </c>
      <c r="J11" s="36" t="str">
        <f>$J$3</f>
        <v>ไม่ใช้อาหารเสริม</v>
      </c>
    </row>
    <row r="12" spans="1:12" x14ac:dyDescent="0.25">
      <c r="A12" s="2">
        <f t="shared" si="0"/>
        <v>44</v>
      </c>
      <c r="B12" s="1">
        <f>Tracking!A4</f>
        <v>3</v>
      </c>
      <c r="C12" s="9">
        <f>Tracking!B4</f>
        <v>45840</v>
      </c>
      <c r="D12" s="9" t="str">
        <f>Tracking!C4</f>
        <v>ลมแรงเมฆมาก</v>
      </c>
      <c r="E12" s="10">
        <v>3.27</v>
      </c>
      <c r="F12" s="1">
        <v>40</v>
      </c>
      <c r="G12" s="1">
        <v>36</v>
      </c>
      <c r="H12" t="str">
        <f>$H$4</f>
        <v>พื้นที่ศาลา</v>
      </c>
      <c r="I12" t="str">
        <f>$I$4</f>
        <v>รังทรงสูง</v>
      </c>
      <c r="J12" s="36" t="str">
        <f>$J$4</f>
        <v>ไม่ใช้อาหารเสริม</v>
      </c>
    </row>
    <row r="13" spans="1:12" x14ac:dyDescent="0.25">
      <c r="A13" s="21" t="str">
        <f t="shared" si="0"/>
        <v>45</v>
      </c>
      <c r="B13" s="19">
        <f>Tracking!A4</f>
        <v>3</v>
      </c>
      <c r="C13" s="20">
        <f>Tracking!B4</f>
        <v>45840</v>
      </c>
      <c r="D13" s="20" t="str">
        <f>Tracking!C4</f>
        <v>ลมแรงเมฆมาก</v>
      </c>
      <c r="E13" s="39">
        <v>2.62</v>
      </c>
      <c r="F13" s="19">
        <v>56</v>
      </c>
      <c r="G13" s="19">
        <v>77</v>
      </c>
      <c r="H13" s="37" t="str">
        <f>$H$5</f>
        <v>พื้นที่ศาลา</v>
      </c>
      <c r="I13" s="37" t="str">
        <f>$I$5</f>
        <v>รังทรงสูง</v>
      </c>
      <c r="J13" s="40" t="str">
        <f>$J$5</f>
        <v>อาหารเสริม</v>
      </c>
    </row>
    <row r="14" spans="1:12" x14ac:dyDescent="0.25">
      <c r="A14" s="22">
        <f t="shared" si="0"/>
        <v>17</v>
      </c>
      <c r="B14" s="23">
        <f>Tracking!A5</f>
        <v>4</v>
      </c>
      <c r="C14" s="24">
        <f>Tracking!B5</f>
        <v>45847</v>
      </c>
      <c r="D14" s="24" t="str">
        <f>Tracking!C5</f>
        <v>ลมแรงเมฆมาก</v>
      </c>
      <c r="E14" s="42">
        <v>3.7</v>
      </c>
      <c r="F14" s="23">
        <v>8</v>
      </c>
      <c r="G14" s="23">
        <v>11</v>
      </c>
      <c r="H14" s="36" t="str">
        <f>$H$2</f>
        <v>พื้นที่ศาลา</v>
      </c>
      <c r="I14" s="36" t="str">
        <f>$I$2</f>
        <v>รังขนาดA4</v>
      </c>
      <c r="J14" s="41" t="str">
        <f>$J$2</f>
        <v>อาหารเสริม</v>
      </c>
    </row>
    <row r="15" spans="1:12" x14ac:dyDescent="0.25">
      <c r="A15" s="2">
        <f t="shared" si="0"/>
        <v>18</v>
      </c>
      <c r="B15" s="1">
        <f>Tracking!A5</f>
        <v>4</v>
      </c>
      <c r="C15" s="7">
        <f>Tracking!B5</f>
        <v>45847</v>
      </c>
      <c r="D15" s="7" t="str">
        <f>Tracking!C5</f>
        <v>ลมแรงเมฆมาก</v>
      </c>
      <c r="E15" s="10">
        <v>4.07</v>
      </c>
      <c r="F15" s="1">
        <v>10</v>
      </c>
      <c r="G15" s="1">
        <v>17</v>
      </c>
      <c r="H15" t="str">
        <f>$H$3</f>
        <v>พื้นที่ศาลา</v>
      </c>
      <c r="I15" t="str">
        <f>$I$3</f>
        <v>รังขนาดA4</v>
      </c>
      <c r="J15" s="36" t="str">
        <f>$J$3</f>
        <v>ไม่ใช้อาหารเสริม</v>
      </c>
    </row>
    <row r="16" spans="1:12" x14ac:dyDescent="0.25">
      <c r="A16" s="2">
        <f t="shared" si="0"/>
        <v>44</v>
      </c>
      <c r="B16" s="1">
        <f>Tracking!A5</f>
        <v>4</v>
      </c>
      <c r="C16" s="9">
        <f>Tracking!B5</f>
        <v>45847</v>
      </c>
      <c r="D16" s="9" t="str">
        <f>Tracking!C5</f>
        <v>ลมแรงเมฆมาก</v>
      </c>
      <c r="E16" s="10">
        <v>3.28</v>
      </c>
      <c r="F16" s="1">
        <v>37</v>
      </c>
      <c r="G16" s="1">
        <v>35</v>
      </c>
      <c r="H16" t="str">
        <f>$H$4</f>
        <v>พื้นที่ศาลา</v>
      </c>
      <c r="I16" t="str">
        <f>$I$4</f>
        <v>รังทรงสูง</v>
      </c>
      <c r="J16" s="36" t="str">
        <f>$J$4</f>
        <v>ไม่ใช้อาหารเสริม</v>
      </c>
    </row>
    <row r="17" spans="1:10" x14ac:dyDescent="0.25">
      <c r="A17" s="21" t="str">
        <f t="shared" si="0"/>
        <v>45</v>
      </c>
      <c r="B17" s="19">
        <f>Tracking!A5</f>
        <v>4</v>
      </c>
      <c r="C17" s="25">
        <f>Tracking!B5</f>
        <v>45847</v>
      </c>
      <c r="D17" s="25" t="str">
        <f>Tracking!C5</f>
        <v>ลมแรงเมฆมาก</v>
      </c>
      <c r="E17" s="39">
        <v>2.62</v>
      </c>
      <c r="F17" s="19">
        <v>85</v>
      </c>
      <c r="G17" s="19">
        <v>103</v>
      </c>
      <c r="H17" s="37" t="str">
        <f>$H$5</f>
        <v>พื้นที่ศาลา</v>
      </c>
      <c r="I17" s="37" t="str">
        <f>$I$5</f>
        <v>รังทรงสูง</v>
      </c>
      <c r="J17" s="40" t="str">
        <f>$J$5</f>
        <v>อาหารเสริม</v>
      </c>
    </row>
    <row r="18" spans="1:10" x14ac:dyDescent="0.25">
      <c r="A18" s="22">
        <f t="shared" si="0"/>
        <v>17</v>
      </c>
      <c r="B18" s="23">
        <f>Tracking!A6</f>
        <v>5</v>
      </c>
      <c r="C18" s="26">
        <f>Tracking!B6</f>
        <v>45854</v>
      </c>
      <c r="D18" s="26" t="str">
        <f>Tracking!C6</f>
        <v>ลมแรงเมฆมาก</v>
      </c>
      <c r="E18" s="35">
        <v>3.68</v>
      </c>
      <c r="F18" s="27">
        <v>10</v>
      </c>
      <c r="G18" s="27">
        <v>1</v>
      </c>
      <c r="H18" s="36" t="str">
        <f>$H$2</f>
        <v>พื้นที่ศาลา</v>
      </c>
      <c r="I18" s="36" t="str">
        <f>$I$2</f>
        <v>รังขนาดA4</v>
      </c>
      <c r="J18" s="41" t="str">
        <f>$J$2</f>
        <v>อาหารเสริม</v>
      </c>
    </row>
    <row r="19" spans="1:10" x14ac:dyDescent="0.25">
      <c r="A19" s="2">
        <f t="shared" si="0"/>
        <v>18</v>
      </c>
      <c r="B19" s="5">
        <f>Tracking!A6</f>
        <v>5</v>
      </c>
      <c r="C19" s="7">
        <f>Tracking!B6</f>
        <v>45854</v>
      </c>
      <c r="D19" s="7" t="str">
        <f>Tracking!C6</f>
        <v>ลมแรงเมฆมาก</v>
      </c>
      <c r="E19" s="32">
        <v>4.05</v>
      </c>
      <c r="F19" s="1">
        <v>85</v>
      </c>
      <c r="G19" s="1">
        <v>33</v>
      </c>
      <c r="H19" t="str">
        <f>$H$3</f>
        <v>พื้นที่ศาลา</v>
      </c>
      <c r="I19" t="str">
        <f>$I$3</f>
        <v>รังขนาดA4</v>
      </c>
      <c r="J19" s="36" t="str">
        <f>$J$3</f>
        <v>ไม่ใช้อาหารเสริม</v>
      </c>
    </row>
    <row r="20" spans="1:10" x14ac:dyDescent="0.25">
      <c r="A20" s="2">
        <f t="shared" si="0"/>
        <v>44</v>
      </c>
      <c r="B20" s="5">
        <f>Tracking!A6</f>
        <v>5</v>
      </c>
      <c r="C20" s="7">
        <f>Tracking!B6</f>
        <v>45854</v>
      </c>
      <c r="D20" s="7" t="str">
        <f>Tracking!C6</f>
        <v>ลมแรงเมฆมาก</v>
      </c>
      <c r="E20" s="32">
        <v>3.26</v>
      </c>
      <c r="F20" s="1">
        <v>34</v>
      </c>
      <c r="G20" s="1">
        <v>39</v>
      </c>
      <c r="H20" t="str">
        <f>$H$4</f>
        <v>พื้นที่ศาลา</v>
      </c>
      <c r="I20" t="str">
        <f>$I$4</f>
        <v>รังทรงสูง</v>
      </c>
      <c r="J20" s="36" t="str">
        <f>$J$4</f>
        <v>ไม่ใช้อาหารเสริม</v>
      </c>
    </row>
    <row r="21" spans="1:10" x14ac:dyDescent="0.25">
      <c r="A21" s="21" t="str">
        <f t="shared" si="0"/>
        <v>45</v>
      </c>
      <c r="B21" s="28">
        <f>Tracking!A6</f>
        <v>5</v>
      </c>
      <c r="C21" s="25">
        <f>Tracking!B6</f>
        <v>45854</v>
      </c>
      <c r="D21" s="25" t="str">
        <f>Tracking!C6</f>
        <v>ลมแรงเมฆมาก</v>
      </c>
      <c r="E21" s="34">
        <v>2.62</v>
      </c>
      <c r="F21" s="28">
        <v>94</v>
      </c>
      <c r="G21" s="28">
        <v>88</v>
      </c>
      <c r="H21" s="37" t="str">
        <f>$H$5</f>
        <v>พื้นที่ศาลา</v>
      </c>
      <c r="I21" s="37" t="str">
        <f>$I$5</f>
        <v>รังทรงสูง</v>
      </c>
      <c r="J21" s="40" t="str">
        <f>$J$5</f>
        <v>อาหารเสริม</v>
      </c>
    </row>
    <row r="22" spans="1:10" x14ac:dyDescent="0.25">
      <c r="A22" s="22">
        <f t="shared" si="0"/>
        <v>17</v>
      </c>
      <c r="B22" s="27">
        <f>Tracking!A7</f>
        <v>6</v>
      </c>
      <c r="C22" s="26">
        <f>Tracking!B7</f>
        <v>45861</v>
      </c>
      <c r="D22" s="26" t="str">
        <f>Tracking!C7</f>
        <v>แจ่มใส</v>
      </c>
      <c r="E22" s="35">
        <v>3.69</v>
      </c>
      <c r="F22" s="27">
        <v>5</v>
      </c>
      <c r="G22" s="5">
        <v>5</v>
      </c>
      <c r="H22" s="36" t="str">
        <f>$H$2</f>
        <v>พื้นที่ศาลา</v>
      </c>
      <c r="I22" s="36" t="str">
        <f>$I$2</f>
        <v>รังขนาดA4</v>
      </c>
      <c r="J22" s="41" t="str">
        <f>$J$2</f>
        <v>อาหารเสริม</v>
      </c>
    </row>
    <row r="23" spans="1:10" x14ac:dyDescent="0.25">
      <c r="A23" s="2">
        <f t="shared" si="0"/>
        <v>18</v>
      </c>
      <c r="B23" s="5">
        <f>Tracking!A7</f>
        <v>6</v>
      </c>
      <c r="C23" s="7">
        <f>Tracking!B7</f>
        <v>45861</v>
      </c>
      <c r="D23" s="5" t="str">
        <f>Tracking!C7</f>
        <v>แจ่มใส</v>
      </c>
      <c r="E23" s="32">
        <v>4.04</v>
      </c>
      <c r="F23" s="5">
        <v>43</v>
      </c>
      <c r="G23" s="5">
        <v>18</v>
      </c>
      <c r="H23" t="str">
        <f>$H$3</f>
        <v>พื้นที่ศาลา</v>
      </c>
      <c r="I23" t="str">
        <f>$I$3</f>
        <v>รังขนาดA4</v>
      </c>
      <c r="J23" s="36" t="str">
        <f>$J$3</f>
        <v>ไม่ใช้อาหารเสริม</v>
      </c>
    </row>
    <row r="24" spans="1:10" x14ac:dyDescent="0.25">
      <c r="A24" s="2">
        <f t="shared" si="0"/>
        <v>44</v>
      </c>
      <c r="B24" s="5">
        <f>Tracking!A7</f>
        <v>6</v>
      </c>
      <c r="C24" s="7">
        <f>Tracking!B7</f>
        <v>45861</v>
      </c>
      <c r="D24" s="5" t="str">
        <f>Tracking!C7</f>
        <v>แจ่มใส</v>
      </c>
      <c r="E24" s="32">
        <v>3.26</v>
      </c>
      <c r="F24" s="5">
        <v>40</v>
      </c>
      <c r="G24" s="5">
        <v>32</v>
      </c>
      <c r="H24" t="str">
        <f>$H$4</f>
        <v>พื้นที่ศาลา</v>
      </c>
      <c r="I24" t="str">
        <f>$I$4</f>
        <v>รังทรงสูง</v>
      </c>
      <c r="J24" s="36" t="str">
        <f>$J$4</f>
        <v>ไม่ใช้อาหารเสริม</v>
      </c>
    </row>
    <row r="25" spans="1:10" x14ac:dyDescent="0.25">
      <c r="A25" s="21" t="str">
        <f t="shared" si="0"/>
        <v>45</v>
      </c>
      <c r="B25" s="28">
        <f>Tracking!A7</f>
        <v>6</v>
      </c>
      <c r="C25" s="25">
        <f>Tracking!B7</f>
        <v>45861</v>
      </c>
      <c r="D25" s="28" t="str">
        <f>Tracking!C7</f>
        <v>แจ่มใส</v>
      </c>
      <c r="E25" s="34">
        <v>2.62</v>
      </c>
      <c r="F25" s="28">
        <v>30</v>
      </c>
      <c r="G25" s="28">
        <v>33</v>
      </c>
      <c r="H25" s="40" t="str">
        <f>$H$2</f>
        <v>พื้นที่ศาลา</v>
      </c>
      <c r="I25" s="37" t="str">
        <f>$I$5</f>
        <v>รังทรงสูง</v>
      </c>
      <c r="J25" s="40" t="str">
        <f>$J$5</f>
        <v>อาหารเสริม</v>
      </c>
    </row>
    <row r="26" spans="1:10" x14ac:dyDescent="0.25">
      <c r="A26" s="22">
        <f t="shared" si="0"/>
        <v>17</v>
      </c>
      <c r="B26" s="27">
        <f>Tracking!A8</f>
        <v>7</v>
      </c>
      <c r="C26" s="26">
        <f>Tracking!B8</f>
        <v>45868</v>
      </c>
      <c r="D26" s="27" t="str">
        <f>Tracking!C8</f>
        <v>แจ่มใส</v>
      </c>
      <c r="E26" s="35">
        <v>3.68</v>
      </c>
      <c r="F26" s="27">
        <v>5</v>
      </c>
      <c r="G26" s="5">
        <v>2</v>
      </c>
      <c r="H26" t="str">
        <f>$H$3</f>
        <v>พื้นที่ศาลา</v>
      </c>
      <c r="I26" s="36" t="str">
        <f>$I$2</f>
        <v>รังขนาดA4</v>
      </c>
      <c r="J26" s="41" t="str">
        <f>$J$2</f>
        <v>อาหารเสริม</v>
      </c>
    </row>
    <row r="27" spans="1:10" x14ac:dyDescent="0.25">
      <c r="A27" s="2">
        <f t="shared" si="0"/>
        <v>18</v>
      </c>
      <c r="B27" s="5">
        <f>Tracking!A8</f>
        <v>7</v>
      </c>
      <c r="C27" s="7">
        <f>Tracking!B8</f>
        <v>45868</v>
      </c>
      <c r="D27" s="5" t="str">
        <f>Tracking!C8</f>
        <v>แจ่มใส</v>
      </c>
      <c r="E27" s="32">
        <v>4.05</v>
      </c>
      <c r="F27" s="5">
        <v>9</v>
      </c>
      <c r="G27" s="5">
        <v>20</v>
      </c>
      <c r="H27" t="str">
        <f>$H$4</f>
        <v>พื้นที่ศาลา</v>
      </c>
      <c r="I27" t="str">
        <f>$I$3</f>
        <v>รังขนาดA4</v>
      </c>
      <c r="J27" s="36" t="str">
        <f>$J$3</f>
        <v>ไม่ใช้อาหารเสริม</v>
      </c>
    </row>
    <row r="28" spans="1:10" x14ac:dyDescent="0.25">
      <c r="A28" s="2">
        <f t="shared" si="0"/>
        <v>44</v>
      </c>
      <c r="B28" s="5">
        <f>Tracking!A8</f>
        <v>7</v>
      </c>
      <c r="C28" s="7">
        <f>Tracking!B8</f>
        <v>45868</v>
      </c>
      <c r="D28" s="5" t="str">
        <f>Tracking!C8</f>
        <v>แจ่มใส</v>
      </c>
      <c r="E28" s="32">
        <v>3.26</v>
      </c>
      <c r="F28" s="5">
        <v>32</v>
      </c>
      <c r="G28" s="5">
        <v>31</v>
      </c>
      <c r="H28" t="str">
        <f>$H$5</f>
        <v>พื้นที่ศาลา</v>
      </c>
      <c r="I28" t="str">
        <f>$I$4</f>
        <v>รังทรงสูง</v>
      </c>
      <c r="J28" s="36" t="str">
        <f>$J$4</f>
        <v>ไม่ใช้อาหารเสริม</v>
      </c>
    </row>
    <row r="29" spans="1:10" x14ac:dyDescent="0.25">
      <c r="A29" s="21" t="str">
        <f t="shared" si="0"/>
        <v>45</v>
      </c>
      <c r="B29" s="28">
        <f>Tracking!A8</f>
        <v>7</v>
      </c>
      <c r="C29" s="25">
        <f>Tracking!B8</f>
        <v>45868</v>
      </c>
      <c r="D29" s="28" t="str">
        <f>Tracking!C8</f>
        <v>แจ่มใส</v>
      </c>
      <c r="E29" s="34">
        <v>2.63</v>
      </c>
      <c r="F29" s="28">
        <v>23</v>
      </c>
      <c r="G29" s="28">
        <v>2</v>
      </c>
      <c r="H29" s="40" t="str">
        <f>$H$2</f>
        <v>พื้นที่ศาลา</v>
      </c>
      <c r="I29" s="37" t="str">
        <f>$I$5</f>
        <v>รังทรงสูง</v>
      </c>
      <c r="J29" s="40" t="str">
        <f>$J$5</f>
        <v>อาหารเสริม</v>
      </c>
    </row>
    <row r="30" spans="1:10" x14ac:dyDescent="0.25">
      <c r="A30" s="22">
        <f t="shared" si="0"/>
        <v>17</v>
      </c>
      <c r="B30" s="5">
        <f>Tracking!A9</f>
        <v>8</v>
      </c>
      <c r="C30" s="7">
        <f>Tracking!B9</f>
        <v>45875</v>
      </c>
      <c r="D30" s="5" t="str">
        <f>Tracking!C9</f>
        <v>แจ่มใส</v>
      </c>
      <c r="E30" s="32">
        <v>3.66</v>
      </c>
      <c r="F30" s="5">
        <v>5</v>
      </c>
      <c r="G30" s="5">
        <v>4</v>
      </c>
      <c r="H30" t="str">
        <f>$H$3</f>
        <v>พื้นที่ศาลา</v>
      </c>
      <c r="I30" t="str">
        <f>$I$3</f>
        <v>รังขนาดA4</v>
      </c>
      <c r="J30" s="41" t="str">
        <f>$J$2</f>
        <v>อาหารเสริม</v>
      </c>
    </row>
    <row r="31" spans="1:10" x14ac:dyDescent="0.25">
      <c r="A31" s="2">
        <f t="shared" si="0"/>
        <v>18</v>
      </c>
      <c r="B31" s="5">
        <f>Tracking!A9</f>
        <v>8</v>
      </c>
      <c r="C31" s="7">
        <f>Tracking!B9</f>
        <v>45875</v>
      </c>
      <c r="D31" s="5" t="str">
        <f>Tracking!C9</f>
        <v>แจ่มใส</v>
      </c>
      <c r="E31" s="32">
        <v>4.01</v>
      </c>
      <c r="F31" s="5">
        <v>28</v>
      </c>
      <c r="G31" s="5">
        <v>16</v>
      </c>
      <c r="H31" t="str">
        <f>$H$4</f>
        <v>พื้นที่ศาลา</v>
      </c>
      <c r="I31" t="str">
        <f>$I$3</f>
        <v>รังขนาดA4</v>
      </c>
      <c r="J31" s="36" t="str">
        <f>$J$3</f>
        <v>ไม่ใช้อาหารเสริม</v>
      </c>
    </row>
    <row r="32" spans="1:10" x14ac:dyDescent="0.25">
      <c r="A32" s="2">
        <f t="shared" si="0"/>
        <v>44</v>
      </c>
      <c r="B32" s="5">
        <f>Tracking!A9</f>
        <v>8</v>
      </c>
      <c r="C32" s="7">
        <f>Tracking!B9</f>
        <v>45875</v>
      </c>
      <c r="D32" s="5" t="str">
        <f>Tracking!C9</f>
        <v>แจ่มใส</v>
      </c>
      <c r="E32" s="32">
        <v>3.23</v>
      </c>
      <c r="F32" s="5">
        <v>8</v>
      </c>
      <c r="G32" s="5">
        <v>7</v>
      </c>
      <c r="H32" t="str">
        <f>$H$5</f>
        <v>พื้นที่ศาลา</v>
      </c>
      <c r="I32" t="str">
        <f>$I$4</f>
        <v>รังทรงสูง</v>
      </c>
      <c r="J32" s="36" t="str">
        <f>$J$4</f>
        <v>ไม่ใช้อาหารเสริม</v>
      </c>
    </row>
    <row r="33" spans="1:10" x14ac:dyDescent="0.25">
      <c r="A33" s="21" t="str">
        <f t="shared" si="0"/>
        <v>45</v>
      </c>
      <c r="B33" s="28">
        <f>Tracking!A9</f>
        <v>8</v>
      </c>
      <c r="C33" s="25">
        <f>Tracking!B9</f>
        <v>45875</v>
      </c>
      <c r="D33" s="28" t="str">
        <f>Tracking!C9</f>
        <v>แจ่มใส</v>
      </c>
      <c r="E33" s="34">
        <v>2.6</v>
      </c>
      <c r="F33" s="28">
        <v>19</v>
      </c>
      <c r="G33" s="28">
        <v>15</v>
      </c>
      <c r="H33" s="40" t="str">
        <f>$H$2</f>
        <v>พื้นที่ศาลา</v>
      </c>
      <c r="I33" s="37" t="str">
        <f>$I$5</f>
        <v>รังทรงสูง</v>
      </c>
      <c r="J33" s="40" t="str">
        <f>$J$5</f>
        <v>อาหารเสริม</v>
      </c>
    </row>
    <row r="34" spans="1:10" x14ac:dyDescent="0.25">
      <c r="A34" s="22">
        <f t="shared" si="0"/>
        <v>17</v>
      </c>
      <c r="B34" s="27">
        <f>Tracking!A10</f>
        <v>9</v>
      </c>
      <c r="C34" s="26">
        <f>Tracking!B10</f>
        <v>45882</v>
      </c>
      <c r="D34" s="26" t="str">
        <f>Tracking!C10</f>
        <v>ลมแรงเมฆมาก</v>
      </c>
      <c r="E34" s="35">
        <v>3.65</v>
      </c>
      <c r="F34" s="27">
        <v>2</v>
      </c>
      <c r="G34" s="27">
        <v>3</v>
      </c>
      <c r="H34" t="str">
        <f>$H$3</f>
        <v>พื้นที่ศาลา</v>
      </c>
      <c r="I34" t="str">
        <f>$I$3</f>
        <v>รังขนาดA4</v>
      </c>
      <c r="J34" s="41" t="str">
        <f>$J$2</f>
        <v>อาหารเสริม</v>
      </c>
    </row>
    <row r="35" spans="1:10" x14ac:dyDescent="0.25">
      <c r="A35" s="2">
        <f t="shared" si="0"/>
        <v>18</v>
      </c>
      <c r="B35" s="5">
        <f>Tracking!A10</f>
        <v>9</v>
      </c>
      <c r="C35" s="7">
        <f>Tracking!B10</f>
        <v>45882</v>
      </c>
      <c r="D35" s="7" t="str">
        <f>Tracking!C10</f>
        <v>ลมแรงเมฆมาก</v>
      </c>
      <c r="E35" s="32">
        <v>4</v>
      </c>
      <c r="F35" s="43">
        <v>26</v>
      </c>
      <c r="G35" s="43">
        <v>30</v>
      </c>
      <c r="H35" t="str">
        <f>$H$4</f>
        <v>พื้นที่ศาลา</v>
      </c>
      <c r="I35" s="36" t="str">
        <f>$I$2</f>
        <v>รังขนาดA4</v>
      </c>
      <c r="J35" s="36" t="str">
        <f>$J$3</f>
        <v>ไม่ใช้อาหารเสริม</v>
      </c>
    </row>
    <row r="36" spans="1:10" x14ac:dyDescent="0.25">
      <c r="A36" s="2">
        <f t="shared" si="0"/>
        <v>44</v>
      </c>
      <c r="B36" s="5">
        <f>Tracking!A10</f>
        <v>9</v>
      </c>
      <c r="C36" s="7">
        <f>Tracking!B10</f>
        <v>45882</v>
      </c>
      <c r="D36" s="7" t="str">
        <f>Tracking!C10</f>
        <v>ลมแรงเมฆมาก</v>
      </c>
      <c r="E36" s="32">
        <v>3.23</v>
      </c>
      <c r="F36" s="5">
        <v>23</v>
      </c>
      <c r="G36" s="5">
        <v>10</v>
      </c>
      <c r="H36" t="str">
        <f>$H$5</f>
        <v>พื้นที่ศาลา</v>
      </c>
      <c r="I36" t="str">
        <f>$I$5</f>
        <v>รังทรงสูง</v>
      </c>
      <c r="J36" s="36" t="str">
        <f>$J$4</f>
        <v>ไม่ใช้อาหารเสริม</v>
      </c>
    </row>
    <row r="37" spans="1:10" x14ac:dyDescent="0.25">
      <c r="A37" s="29" t="str">
        <f t="shared" si="0"/>
        <v>45</v>
      </c>
      <c r="B37" s="5">
        <f>Tracking!A10</f>
        <v>9</v>
      </c>
      <c r="C37" s="7">
        <f>Tracking!B10</f>
        <v>45882</v>
      </c>
      <c r="D37" s="7" t="str">
        <f>Tracking!C10</f>
        <v>ลมแรงเมฆมาก</v>
      </c>
      <c r="E37" s="32">
        <v>2.59</v>
      </c>
      <c r="F37" s="5">
        <v>31</v>
      </c>
      <c r="G37" s="5">
        <v>26</v>
      </c>
      <c r="H37" s="36" t="str">
        <f>$H$2</f>
        <v>พื้นที่ศาลา</v>
      </c>
      <c r="I37" t="str">
        <f>$I$5</f>
        <v>รังทรงสูง</v>
      </c>
      <c r="J37" s="36" t="str">
        <f>$J$5</f>
        <v>อาหารเสริม</v>
      </c>
    </row>
    <row r="38" spans="1:10" x14ac:dyDescent="0.25">
      <c r="A38" s="46" t="str">
        <f>KeyData!A6</f>
        <v>16</v>
      </c>
      <c r="B38" s="47">
        <f>Tracking!A10</f>
        <v>9</v>
      </c>
      <c r="C38" s="48">
        <f>Tracking!B11</f>
        <v>45882</v>
      </c>
      <c r="D38" s="48" t="str">
        <f>Tracking!C11</f>
        <v>แจ่มใส</v>
      </c>
      <c r="E38" s="49">
        <v>3.72</v>
      </c>
      <c r="F38" s="47">
        <v>78</v>
      </c>
      <c r="G38" s="47">
        <v>15</v>
      </c>
      <c r="H38" s="50" t="str">
        <f>KeyData!B6</f>
        <v>พื้นที่ศาลา</v>
      </c>
      <c r="I38" s="50" t="str">
        <f>KeyData!C6</f>
        <v>รังขนาดA4</v>
      </c>
      <c r="J38" s="50" t="str">
        <f>KeyData!F6</f>
        <v>อาหารเสริม</v>
      </c>
    </row>
    <row r="39" spans="1:10" x14ac:dyDescent="0.25">
      <c r="A39" s="2" t="str">
        <f>$A$38</f>
        <v>16</v>
      </c>
      <c r="B39" s="27">
        <f>Tracking!A12</f>
        <v>10</v>
      </c>
      <c r="C39" s="26">
        <f>Tracking!B12</f>
        <v>45889</v>
      </c>
      <c r="D39" s="26" t="str">
        <f>Tracking!C12</f>
        <v>แจ่มใส</v>
      </c>
      <c r="E39" s="35">
        <v>3.7</v>
      </c>
      <c r="F39" s="27">
        <v>8</v>
      </c>
      <c r="G39" s="27">
        <v>44</v>
      </c>
      <c r="H39" t="str">
        <f>$H$38</f>
        <v>พื้นที่ศาลา</v>
      </c>
      <c r="I39" t="str">
        <f>$I$38</f>
        <v>รังขนาดA4</v>
      </c>
      <c r="J39" s="41" t="str">
        <f>$J$2</f>
        <v>อาหารเสริม</v>
      </c>
    </row>
    <row r="40" spans="1:10" x14ac:dyDescent="0.25">
      <c r="A40" s="2">
        <f>A35</f>
        <v>18</v>
      </c>
      <c r="B40" s="5">
        <f>Tracking!A12</f>
        <v>10</v>
      </c>
      <c r="C40" s="7">
        <f>Tracking!B12</f>
        <v>45889</v>
      </c>
      <c r="D40" s="7" t="str">
        <f>Tracking!C12</f>
        <v>แจ่มใส</v>
      </c>
      <c r="E40" s="32">
        <v>4.0199999999999996</v>
      </c>
      <c r="F40" s="5">
        <v>137</v>
      </c>
      <c r="G40" s="5">
        <v>110</v>
      </c>
      <c r="H40" t="str">
        <f>$H$4</f>
        <v>พื้นที่ศาลา</v>
      </c>
      <c r="I40" t="str">
        <f>$I$38</f>
        <v>รังขนาดA4</v>
      </c>
      <c r="J40" s="36" t="str">
        <f>$J$3</f>
        <v>ไม่ใช้อาหารเสริม</v>
      </c>
    </row>
    <row r="41" spans="1:10" x14ac:dyDescent="0.25">
      <c r="A41" s="2">
        <f>A36</f>
        <v>44</v>
      </c>
      <c r="B41" s="5">
        <f>Tracking!A12</f>
        <v>10</v>
      </c>
      <c r="C41" s="7">
        <f>Tracking!B12</f>
        <v>45889</v>
      </c>
      <c r="D41" s="7" t="str">
        <f>Tracking!C12</f>
        <v>แจ่มใส</v>
      </c>
      <c r="E41" s="32">
        <v>3.24</v>
      </c>
      <c r="F41" s="5">
        <v>53</v>
      </c>
      <c r="G41" s="5">
        <v>60</v>
      </c>
      <c r="H41" t="str">
        <f>$H$5</f>
        <v>พื้นที่ศาลา</v>
      </c>
      <c r="I41" t="str">
        <f>$I$4</f>
        <v>รังทรงสูง</v>
      </c>
      <c r="J41" s="36" t="str">
        <f>$J$4</f>
        <v>ไม่ใช้อาหารเสริม</v>
      </c>
    </row>
    <row r="42" spans="1:10" x14ac:dyDescent="0.25">
      <c r="A42" s="21" t="str">
        <f>A37</f>
        <v>45</v>
      </c>
      <c r="B42" s="28">
        <f>Tracking!A12</f>
        <v>10</v>
      </c>
      <c r="C42" s="25">
        <f>Tracking!B12</f>
        <v>45889</v>
      </c>
      <c r="D42" s="25" t="str">
        <f>Tracking!C12</f>
        <v>แจ่มใส</v>
      </c>
      <c r="E42" s="34">
        <v>2.6</v>
      </c>
      <c r="F42" s="19">
        <v>64</v>
      </c>
      <c r="G42" s="28">
        <v>44</v>
      </c>
      <c r="H42" s="40" t="str">
        <f>$H$2</f>
        <v>พื้นที่ศาลา</v>
      </c>
      <c r="I42" s="37" t="str">
        <f>$I$5</f>
        <v>รังทรงสูง</v>
      </c>
      <c r="J42" s="40" t="str">
        <f>$J$5</f>
        <v>อาหารเสริม</v>
      </c>
    </row>
    <row r="43" spans="1:10" x14ac:dyDescent="0.25">
      <c r="A43" s="33" t="str">
        <f>$A$38</f>
        <v>16</v>
      </c>
      <c r="B43" s="27">
        <f>Tracking!A13</f>
        <v>11</v>
      </c>
      <c r="C43" s="26">
        <f>Tracking!B13</f>
        <v>45896</v>
      </c>
      <c r="D43" s="27" t="str">
        <f>Tracking!C13</f>
        <v>ลมแรงเมฆมาก</v>
      </c>
      <c r="E43" s="35">
        <v>3.7</v>
      </c>
      <c r="F43" s="27">
        <v>73</v>
      </c>
      <c r="G43" s="5">
        <v>48</v>
      </c>
      <c r="H43" t="str">
        <f>$H$38</f>
        <v>พื้นที่ศาลา</v>
      </c>
      <c r="I43" t="str">
        <f>$I$38</f>
        <v>รังขนาดA4</v>
      </c>
      <c r="J43" s="41" t="str">
        <f>$J$2</f>
        <v>อาหารเสริม</v>
      </c>
    </row>
    <row r="44" spans="1:10" x14ac:dyDescent="0.25">
      <c r="A44" s="2">
        <f>A40</f>
        <v>18</v>
      </c>
      <c r="B44" s="5">
        <f>Tracking!A13</f>
        <v>11</v>
      </c>
      <c r="C44" s="7">
        <f>Tracking!B13</f>
        <v>45896</v>
      </c>
      <c r="D44" s="5" t="str">
        <f>Tracking!C13</f>
        <v>ลมแรงเมฆมาก</v>
      </c>
      <c r="E44" s="32">
        <v>4.0199999999999996</v>
      </c>
      <c r="F44" s="5">
        <v>52</v>
      </c>
      <c r="G44" s="5">
        <v>31</v>
      </c>
      <c r="H44" t="str">
        <f>$H$4</f>
        <v>พื้นที่ศาลา</v>
      </c>
      <c r="I44" t="str">
        <f>$I$38</f>
        <v>รังขนาดA4</v>
      </c>
      <c r="J44" s="36" t="str">
        <f>$J$3</f>
        <v>ไม่ใช้อาหารเสริม</v>
      </c>
    </row>
    <row r="45" spans="1:10" x14ac:dyDescent="0.25">
      <c r="A45" s="2">
        <f>A41</f>
        <v>44</v>
      </c>
      <c r="B45" s="5">
        <f>Tracking!A13</f>
        <v>11</v>
      </c>
      <c r="C45" s="7">
        <f>Tracking!B13</f>
        <v>45896</v>
      </c>
      <c r="D45" s="5" t="str">
        <f>Tracking!C13</f>
        <v>ลมแรงเมฆมาก</v>
      </c>
      <c r="E45" s="32">
        <v>3.25</v>
      </c>
      <c r="F45" s="5">
        <v>23</v>
      </c>
      <c r="G45" s="5">
        <v>31</v>
      </c>
      <c r="H45" t="str">
        <f>$H$5</f>
        <v>พื้นที่ศาลา</v>
      </c>
      <c r="I45" t="str">
        <f>$I$4</f>
        <v>รังทรงสูง</v>
      </c>
      <c r="J45" s="36" t="str">
        <f>$J$4</f>
        <v>ไม่ใช้อาหารเสริม</v>
      </c>
    </row>
    <row r="46" spans="1:10" x14ac:dyDescent="0.25">
      <c r="A46" s="21" t="str">
        <f>A42</f>
        <v>45</v>
      </c>
      <c r="B46" s="28">
        <f>Tracking!A13</f>
        <v>11</v>
      </c>
      <c r="C46" s="25">
        <f>Tracking!B13</f>
        <v>45896</v>
      </c>
      <c r="D46" s="28" t="str">
        <f>Tracking!C13</f>
        <v>ลมแรงเมฆมาก</v>
      </c>
      <c r="E46" s="34">
        <v>2.6</v>
      </c>
      <c r="F46" s="28">
        <v>42</v>
      </c>
      <c r="G46" s="28">
        <v>41</v>
      </c>
      <c r="H46" s="40" t="str">
        <f>$H$2</f>
        <v>พื้นที่ศาลา</v>
      </c>
      <c r="I46" s="37" t="str">
        <f>$I$5</f>
        <v>รังทรงสูง</v>
      </c>
      <c r="J46" s="40" t="str">
        <f>$J$5</f>
        <v>อาหารเสริม</v>
      </c>
    </row>
    <row r="47" spans="1:10" x14ac:dyDescent="0.25">
      <c r="A47" s="33" t="str">
        <f>$A$38</f>
        <v>16</v>
      </c>
      <c r="B47" s="27">
        <f>Tracking!A14</f>
        <v>12</v>
      </c>
      <c r="C47" s="26">
        <f>Tracking!B14</f>
        <v>45903</v>
      </c>
      <c r="D47" s="27" t="str">
        <f>Tracking!C14</f>
        <v>แจ่มใส</v>
      </c>
      <c r="E47" s="35">
        <v>3.71</v>
      </c>
      <c r="F47" s="27">
        <v>39</v>
      </c>
      <c r="G47" s="27">
        <v>34</v>
      </c>
      <c r="H47" t="str">
        <f>$H$38</f>
        <v>พื้นที่ศาลา</v>
      </c>
      <c r="I47" t="str">
        <f>$I$38</f>
        <v>รังขนาดA4</v>
      </c>
      <c r="J47" s="41" t="str">
        <f>$J$2</f>
        <v>อาหารเสริม</v>
      </c>
    </row>
    <row r="48" spans="1:10" x14ac:dyDescent="0.25">
      <c r="A48" s="2">
        <f>A44</f>
        <v>18</v>
      </c>
      <c r="B48" s="5">
        <f>Tracking!A14</f>
        <v>12</v>
      </c>
      <c r="C48" s="7">
        <f>Tracking!B14</f>
        <v>45903</v>
      </c>
      <c r="D48" s="5" t="str">
        <f>Tracking!C14</f>
        <v>แจ่มใส</v>
      </c>
      <c r="E48" s="32">
        <v>4.01</v>
      </c>
      <c r="F48" s="5">
        <v>39</v>
      </c>
      <c r="G48" s="5">
        <v>33</v>
      </c>
      <c r="H48" t="str">
        <f>$H$4</f>
        <v>พื้นที่ศาลา</v>
      </c>
      <c r="I48" t="str">
        <f>$I$38</f>
        <v>รังขนาดA4</v>
      </c>
      <c r="J48" s="36" t="str">
        <f>$J$3</f>
        <v>ไม่ใช้อาหารเสริม</v>
      </c>
    </row>
    <row r="49" spans="1:10" x14ac:dyDescent="0.25">
      <c r="A49" s="2">
        <f>A45</f>
        <v>44</v>
      </c>
      <c r="B49" s="5">
        <f>Tracking!A14</f>
        <v>12</v>
      </c>
      <c r="C49" s="7">
        <f>Tracking!B14</f>
        <v>45903</v>
      </c>
      <c r="D49" s="5" t="str">
        <f>Tracking!C14</f>
        <v>แจ่มใส</v>
      </c>
      <c r="E49" s="32">
        <v>3.25</v>
      </c>
      <c r="F49" s="5">
        <v>15</v>
      </c>
      <c r="G49" s="5">
        <v>20</v>
      </c>
      <c r="H49" t="str">
        <f>$H$5</f>
        <v>พื้นที่ศาลา</v>
      </c>
      <c r="I49" t="str">
        <f>$I$4</f>
        <v>รังทรงสูง</v>
      </c>
      <c r="J49" s="36" t="str">
        <f>$J$4</f>
        <v>ไม่ใช้อาหารเสริม</v>
      </c>
    </row>
    <row r="50" spans="1:10" x14ac:dyDescent="0.25">
      <c r="A50" s="21" t="str">
        <f>A46</f>
        <v>45</v>
      </c>
      <c r="B50" s="28">
        <f>Tracking!A14</f>
        <v>12</v>
      </c>
      <c r="C50" s="25">
        <f>Tracking!B14</f>
        <v>45903</v>
      </c>
      <c r="D50" s="28" t="str">
        <f>Tracking!C14</f>
        <v>แจ่มใส</v>
      </c>
      <c r="E50" s="34">
        <v>2.6</v>
      </c>
      <c r="F50" s="28">
        <v>60</v>
      </c>
      <c r="G50" s="28">
        <v>34</v>
      </c>
      <c r="H50" s="40" t="str">
        <f>$H$2</f>
        <v>พื้นที่ศาลา</v>
      </c>
      <c r="I50" s="37" t="str">
        <f>$I$5</f>
        <v>รังทรงสูง</v>
      </c>
      <c r="J50" s="40" t="str">
        <f>$J$5</f>
        <v>อาหารเสริม</v>
      </c>
    </row>
    <row r="51" spans="1:10" x14ac:dyDescent="0.25">
      <c r="A51" s="33" t="str">
        <f>$A$38</f>
        <v>16</v>
      </c>
      <c r="B51" s="27">
        <f>Tracking!A15</f>
        <v>13</v>
      </c>
      <c r="C51" s="26">
        <f>Tracking!B15</f>
        <v>45910</v>
      </c>
      <c r="D51" s="26" t="str">
        <f>Tracking!C15</f>
        <v>แจ่มใส</v>
      </c>
      <c r="E51" s="32">
        <v>3.71</v>
      </c>
      <c r="F51" s="5">
        <v>37</v>
      </c>
      <c r="G51" s="5">
        <v>29</v>
      </c>
      <c r="H51" t="str">
        <f>$H$38</f>
        <v>พื้นที่ศาลา</v>
      </c>
      <c r="I51" t="str">
        <f>$I$38</f>
        <v>รังขนาดA4</v>
      </c>
      <c r="J51" s="41" t="str">
        <f>$J$2</f>
        <v>อาหารเสริม</v>
      </c>
    </row>
    <row r="52" spans="1:10" x14ac:dyDescent="0.25">
      <c r="A52" s="2">
        <f>A48</f>
        <v>18</v>
      </c>
      <c r="B52" s="5">
        <f>Tracking!A15</f>
        <v>13</v>
      </c>
      <c r="C52" s="7">
        <f>Tracking!B15</f>
        <v>45910</v>
      </c>
      <c r="D52" s="7" t="str">
        <f>Tracking!C15</f>
        <v>แจ่มใส</v>
      </c>
      <c r="E52" s="32">
        <v>4.01</v>
      </c>
      <c r="F52" s="5">
        <v>40</v>
      </c>
      <c r="G52" s="5">
        <v>26</v>
      </c>
      <c r="H52" t="str">
        <f>$H$4</f>
        <v>พื้นที่ศาลา</v>
      </c>
      <c r="I52" t="str">
        <f>$I$38</f>
        <v>รังขนาดA4</v>
      </c>
      <c r="J52" s="36" t="str">
        <f>$J$3</f>
        <v>ไม่ใช้อาหารเสริม</v>
      </c>
    </row>
    <row r="53" spans="1:10" x14ac:dyDescent="0.25">
      <c r="A53" s="2">
        <f>A49</f>
        <v>44</v>
      </c>
      <c r="B53" s="5">
        <f>Tracking!A15</f>
        <v>13</v>
      </c>
      <c r="C53" s="7">
        <f>Tracking!B15</f>
        <v>45910</v>
      </c>
      <c r="D53" s="7" t="str">
        <f>Tracking!C15</f>
        <v>แจ่มใส</v>
      </c>
      <c r="E53" s="32">
        <v>3.24</v>
      </c>
      <c r="F53" s="5">
        <v>15</v>
      </c>
      <c r="G53" s="5">
        <v>14</v>
      </c>
      <c r="H53" t="str">
        <f>$H$5</f>
        <v>พื้นที่ศาลา</v>
      </c>
      <c r="I53" t="str">
        <f>$I$4</f>
        <v>รังทรงสูง</v>
      </c>
      <c r="J53" s="36" t="str">
        <f>$J$4</f>
        <v>ไม่ใช้อาหารเสริม</v>
      </c>
    </row>
    <row r="54" spans="1:10" x14ac:dyDescent="0.25">
      <c r="A54" s="21" t="str">
        <f>A50</f>
        <v>45</v>
      </c>
      <c r="B54" s="28">
        <f>Tracking!A15</f>
        <v>13</v>
      </c>
      <c r="C54" s="25">
        <f>Tracking!B15</f>
        <v>45910</v>
      </c>
      <c r="D54" s="25" t="str">
        <f>Tracking!C15</f>
        <v>แจ่มใส</v>
      </c>
      <c r="E54" s="34">
        <v>2.6</v>
      </c>
      <c r="F54" s="28">
        <v>32</v>
      </c>
      <c r="G54" s="28">
        <v>7</v>
      </c>
      <c r="H54" s="40" t="str">
        <f>$H$2</f>
        <v>พื้นที่ศาลา</v>
      </c>
      <c r="I54" s="37" t="str">
        <f>$I$5</f>
        <v>รังทรงสูง</v>
      </c>
      <c r="J54" s="40" t="str">
        <f>$J$5</f>
        <v>อาหารเสริม</v>
      </c>
    </row>
    <row r="55" spans="1:10" x14ac:dyDescent="0.25">
      <c r="C55" s="7"/>
    </row>
  </sheetData>
  <pageMargins left="0.7" right="0.7" top="0.75" bottom="0.75" header="0.3" footer="0.3"/>
  <pageSetup paperSize="9" orientation="portrait" r:id="rId1"/>
  <ignoredErrors>
    <ignoredError sqref="A47 A51:A54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F01BA46488334EBB31760BBF348AFB" ma:contentTypeVersion="12" ma:contentTypeDescription="Create a new document." ma:contentTypeScope="" ma:versionID="cdffd6ec8fe4e54b98a91b8387a80caa">
  <xsd:schema xmlns:xsd="http://www.w3.org/2001/XMLSchema" xmlns:xs="http://www.w3.org/2001/XMLSchema" xmlns:p="http://schemas.microsoft.com/office/2006/metadata/properties" xmlns:ns3="5d8ddcbc-9fe2-45f2-b1bb-acb068ecabb5" targetNamespace="http://schemas.microsoft.com/office/2006/metadata/properties" ma:root="true" ma:fieldsID="b3ecbeb9ebdeeec599107020b626aa51" ns3:_="">
    <xsd:import namespace="5d8ddcbc-9fe2-45f2-b1bb-acb068ecab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ddcbc-9fe2-45f2-b1bb-acb068ecab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8ddcbc-9fe2-45f2-b1bb-acb068ecabb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4AEEB6-082B-4962-ABA9-7CD2F70D425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d8ddcbc-9fe2-45f2-b1bb-acb068ecabb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E916C7-D619-45E1-A4B8-7540E2DC8C9A}">
  <ds:schemaRefs>
    <ds:schemaRef ds:uri="http://schemas.microsoft.com/office/2006/metadata/properties"/>
    <ds:schemaRef ds:uri="http://www.w3.org/2000/xmlns/"/>
    <ds:schemaRef ds:uri="5d8ddcbc-9fe2-45f2-b1bb-acb068ecabb5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E2F9A2B-AC22-4F6D-ADE7-4EDC2F0259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KeyData</vt:lpstr>
      <vt:lpstr>Tracking</vt:lpstr>
      <vt:lpstr>Hive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NONTIYA CHOTHONG</dc:creator>
  <cp:keywords/>
  <dc:description/>
  <cp:lastModifiedBy>CHANATINATH BOONYIAM</cp:lastModifiedBy>
  <cp:revision/>
  <cp:lastPrinted>2025-06-10T14:39:43Z</cp:lastPrinted>
  <dcterms:created xsi:type="dcterms:W3CDTF">2025-05-26T02:06:29Z</dcterms:created>
  <dcterms:modified xsi:type="dcterms:W3CDTF">2025-10-21T09:19:19Z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0x010100B6F01BA46488334EBB31760BBF348AFB</vt:lpwstr>
  </property>
</Properties>
</file>